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mpany Scena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<sst xmlns="http://schemas.openxmlformats.org/spreadsheetml/2006/main" count="105" uniqueCount="93">
  <si>
    <t xml:space="preserve">WarpGrid Density Savings Model — Assumptions</t>
  </si>
  <si>
    <t xml:space="preserve">Blue values = inputs you can change. Black values = calculated.</t>
  </si>
  <si>
    <t xml:space="preserve">KUBERNETES BASELINE</t>
  </si>
  <si>
    <t xml:space="preserve">Parameter</t>
  </si>
  <si>
    <t xml:space="preserve">Value</t>
  </si>
  <si>
    <t xml:space="preserve">Unit</t>
  </si>
  <si>
    <t xml:space="preserve">Notes</t>
  </si>
  <si>
    <t xml:space="preserve">Avg pods per K8s node</t>
  </si>
  <si>
    <t xml:space="preserve">pods</t>
  </si>
  <si>
    <t xml:space="preserve">Conservative. Typical range: 30-110.</t>
  </si>
  <si>
    <t xml:space="preserve">Avg container memory per pod</t>
  </si>
  <si>
    <t xml:space="preserve">MB</t>
  </si>
  <si>
    <t xml:space="preserve">Includes base image + runtime overhead.</t>
  </si>
  <si>
    <t xml:space="preserve">Avg container CPU per pod</t>
  </si>
  <si>
    <t xml:space="preserve">vCPU</t>
  </si>
  <si>
    <t xml:space="preserve">Typical request for a microservice.</t>
  </si>
  <si>
    <t xml:space="preserve">Node instance type cost (m5.xlarge)</t>
  </si>
  <si>
    <t xml:space="preserve">$/hour</t>
  </si>
  <si>
    <t xml:space="preserve">AWS us-east-1 on-demand. 4 vCPU, 16 GB.</t>
  </si>
  <si>
    <t xml:space="preserve">EKS control plane cost</t>
  </si>
  <si>
    <t xml:space="preserve">Per cluster. $73/month.</t>
  </si>
  <si>
    <t xml:space="preserve">Nodes per cluster</t>
  </si>
  <si>
    <t xml:space="preserve">nodes</t>
  </si>
  <si>
    <t xml:space="preserve">Small-medium production cluster.</t>
  </si>
  <si>
    <t xml:space="preserve">Clusters per company</t>
  </si>
  <si>
    <t xml:space="preserve">clusters</t>
  </si>
  <si>
    <t xml:space="preserve">Dev + staging + prod.</t>
  </si>
  <si>
    <t xml:space="preserve">K8s overhead per node (kubelet+containerd+proxy)</t>
  </si>
  <si>
    <t xml:space="preserve">System components memory footprint.</t>
  </si>
  <si>
    <t xml:space="preserve">Avg container image size</t>
  </si>
  <si>
    <t xml:space="preserve">Typical Docker image with base OS layer.</t>
  </si>
  <si>
    <t xml:space="preserve">Container cold start time</t>
  </si>
  <si>
    <t xml:space="preserve">seconds</t>
  </si>
  <si>
    <t xml:space="preserve">Pull + extract + start. Warm start ~1-2s.</t>
  </si>
  <si>
    <t xml:space="preserve">WARPGRID WASM BASELINE</t>
  </si>
  <si>
    <t xml:space="preserve">Wasm instances per node (conservative)</t>
  </si>
  <si>
    <t xml:space="preserve">instances</t>
  </si>
  <si>
    <t xml:space="preserve">Fermyon published 5,000+. We use 2,000 conservatively.</t>
  </si>
  <si>
    <t xml:space="preserve">Avg Wasm module size</t>
  </si>
  <si>
    <t xml:space="preserve">Typical compiled Rust/Go HTTP service.</t>
  </si>
  <si>
    <t xml:space="preserve">Avg Wasm instance memory</t>
  </si>
  <si>
    <t xml:space="preserve">Linear memory. Most services use 8-32 MB.</t>
  </si>
  <si>
    <t xml:space="preserve">Wasm cold start time</t>
  </si>
  <si>
    <t xml:space="preserve">ms</t>
  </si>
  <si>
    <t xml:space="preserve">Wasmtime AOT. Measured, not theoretical.</t>
  </si>
  <si>
    <t xml:space="preserve">WarpGrid node overhead</t>
  </si>
  <si>
    <t xml:space="preserve">Single binary. No containerd, runc, kubelet.</t>
  </si>
  <si>
    <t xml:space="preserve">WarpGrid control plane cost</t>
  </si>
  <si>
    <t xml:space="preserve">Self-hosted. Runs on existing nodes.</t>
  </si>
  <si>
    <t xml:space="preserve">Density multiplier vs K8s</t>
  </si>
  <si>
    <t xml:space="preserve">x</t>
  </si>
  <si>
    <t xml:space="preserve">Calculated: WASM instances per node / K8s pods per node</t>
  </si>
  <si>
    <t xml:space="preserve">WarpGrid Density Savings by Company Profile</t>
  </si>
  <si>
    <t xml:space="preserve">All calculations reference the Assumptions sheet. Change inputs there to update all scenarios.</t>
  </si>
  <si>
    <t xml:space="preserve">Metric</t>
  </si>
  <si>
    <t xml:space="preserve">Startup
(50 services)</t>
  </si>
  <si>
    <t xml:space="preserve">Scale-up
(200 services)</t>
  </si>
  <si>
    <t xml:space="preserve">Mid-Market
(500 services)</t>
  </si>
  <si>
    <t xml:space="preserve">Enterprise
(2,000 services)</t>
  </si>
  <si>
    <t xml:space="preserve">Large Enterprise
(10,000 services)</t>
  </si>
  <si>
    <t xml:space="preserve">KUBERNETES COSTS</t>
  </si>
  <si>
    <t xml:space="preserve">Total services/pods</t>
  </si>
  <si>
    <t xml:space="preserve">K8s nodes needed</t>
  </si>
  <si>
    <t xml:space="preserve">K8s clusters</t>
  </si>
  <si>
    <t xml:space="preserve">Monthly node compute ($)</t>
  </si>
  <si>
    <t xml:space="preserve">Monthly EKS control plane ($)</t>
  </si>
  <si>
    <t xml:space="preserve">TOTAL K8s monthly ($)</t>
  </si>
  <si>
    <t xml:space="preserve">TOTAL K8s annual ($)</t>
  </si>
  <si>
    <t xml:space="preserve">WARPGRID COSTS</t>
  </si>
  <si>
    <t xml:space="preserve">Total services/instances</t>
  </si>
  <si>
    <t xml:space="preserve">WarpGrid nodes needed</t>
  </si>
  <si>
    <t xml:space="preserve">WarpGrid control plane ($)</t>
  </si>
  <si>
    <t xml:space="preserve">TOTAL WarpGrid monthly ($)</t>
  </si>
  <si>
    <t xml:space="preserve">TOTAL WarpGrid annual ($)</t>
  </si>
  <si>
    <t xml:space="preserve">SAVINGS</t>
  </si>
  <si>
    <t xml:space="preserve">Monthly savings ($)</t>
  </si>
  <si>
    <t xml:space="preserve">Annual savings ($)</t>
  </si>
  <si>
    <t xml:space="preserve">Savings percentage</t>
  </si>
  <si>
    <t xml:space="preserve">Node reduction</t>
  </si>
  <si>
    <t xml:space="preserve">Density multiplier</t>
  </si>
  <si>
    <t xml:space="preserve">ADDITIONAL VALUE (NOT QUANTIFIED ABOVE)</t>
  </si>
  <si>
    <t xml:space="preserve">• Cold start: 3ms (Wasm) vs 5s (Docker) — enables true scale-to-zero, further savings</t>
  </si>
  <si>
    <t xml:space="preserve">• No EKS/GKE/AKS management fee — self-hosted, zero vendor lock-in</t>
  </si>
  <si>
    <t xml:space="preserve">• No container image registry costs — Wasm modules are 50-100x smaller</t>
  </si>
  <si>
    <t xml:space="preserve">• Reduced ops team: no containerd, CNI, CSI, CRI debugging</t>
  </si>
  <si>
    <t xml:space="preserve">• Security: Wasm sandbox eliminates container escape CVEs entirely</t>
  </si>
  <si>
    <t xml:space="preserve">• No base image patching — Wasm modules have no OS layer to maintain</t>
  </si>
  <si>
    <t xml:space="preserve">CAVEATS</t>
  </si>
  <si>
    <t xml:space="preserve">⚠ These savings assume workloads ARE Wasm-compatible. Per our analysis, ~25-35% of typical backend services compile today.</t>
  </si>
  <si>
    <t xml:space="preserve">⚠ Savings are on compute only. Does not include eng time to migrate, retrain teams, or adopt new tooling.</t>
  </si>
  <si>
    <t xml:space="preserve">⚠ WarpGrid is self-hosted: you trade managed-K8s ops for WarpGrid ops (simpler, but still non-zero).</t>
  </si>
  <si>
    <t xml:space="preserve">⚠ Database, cache, and storage costs are external and unchanged — this model covers compute orchestration only.</t>
  </si>
  <si>
    <t xml:space="preserve">⚠ Conservative estimate uses 2,000 Wasm instances/node. Fermyon has demonstrated 5,000+. Actual density depends on workload memory.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</si>
</sst>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\x"/>
    <numFmt numFmtId="166" formatCode="#,##0"/>
    <numFmt numFmtId="167" formatCode="\$#,##0"/>
    <numFmt numFmtId="168" formatCode="0.0%"/>
    <numFmt numFmtId="169" formatCode="#,##0&quot; fewer nodes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2C3E5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922B21"/>
      <name val="Arial"/>
      <family val="0"/>
      <charset val="1"/>
    </font>
    <font>
      <i val="true"/>
      <sz val="10"/>
      <color rgb="FF922B2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FFF2CC"/>
        <bgColor rgb="FFF2F3F4"/>
      </patternFill>
    </fill>
    <fill>
      <patternFill patternType="solid">
        <fgColor rgb="FFF2F3F4"/>
        <bgColor rgb="FFFFFFFF"/>
      </patternFill>
    </fill>
    <fill>
      <patternFill patternType="solid">
        <fgColor rgb="FFD5F5E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1E8449"/>
      <rgbColor rgb="FF003300"/>
      <rgbColor rgb="FF333300"/>
      <rgbColor rgb="FF922B21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40</v>
      </c>
      <c r="C6" s="5" t="s">
        <v>8</v>
      </c>
      <c r="D6" s="5" t="s">
        <v>9</v>
      </c>
    </row>
    <row r="7" customFormat="false" ht="15" hidden="false" customHeight="false" outlineLevel="0" collapsed="false">
      <c r="A7" s="5" t="s">
        <v>10</v>
      </c>
      <c r="B7" s="6" t="n">
        <v>256</v>
      </c>
      <c r="C7" s="5" t="s">
        <v>11</v>
      </c>
      <c r="D7" s="5" t="s">
        <v>12</v>
      </c>
    </row>
    <row r="8" customFormat="false" ht="15" hidden="false" customHeight="false" outlineLevel="0" collapsed="false">
      <c r="A8" s="5" t="s">
        <v>13</v>
      </c>
      <c r="B8" s="6" t="n">
        <v>0.25</v>
      </c>
      <c r="C8" s="5" t="s">
        <v>14</v>
      </c>
      <c r="D8" s="5" t="s">
        <v>15</v>
      </c>
    </row>
    <row r="9" customFormat="false" ht="15" hidden="false" customHeight="false" outlineLevel="0" collapsed="false">
      <c r="A9" s="5" t="s">
        <v>16</v>
      </c>
      <c r="B9" s="6" t="n">
        <v>0.192</v>
      </c>
      <c r="C9" s="5" t="s">
        <v>17</v>
      </c>
      <c r="D9" s="5" t="s">
        <v>18</v>
      </c>
    </row>
    <row r="10" customFormat="false" ht="15" hidden="false" customHeight="false" outlineLevel="0" collapsed="false">
      <c r="A10" s="5" t="s">
        <v>19</v>
      </c>
      <c r="B10" s="6" t="n">
        <v>0.1</v>
      </c>
      <c r="C10" s="5" t="s">
        <v>17</v>
      </c>
      <c r="D10" s="5" t="s">
        <v>20</v>
      </c>
    </row>
    <row r="11" customFormat="false" ht="15" hidden="false" customHeight="false" outlineLevel="0" collapsed="false">
      <c r="A11" s="5" t="s">
        <v>21</v>
      </c>
      <c r="B11" s="6" t="n">
        <v>10</v>
      </c>
      <c r="C11" s="5" t="s">
        <v>22</v>
      </c>
      <c r="D11" s="5" t="s">
        <v>23</v>
      </c>
    </row>
    <row r="12" customFormat="false" ht="15" hidden="false" customHeight="false" outlineLevel="0" collapsed="false">
      <c r="A12" s="5" t="s">
        <v>24</v>
      </c>
      <c r="B12" s="6" t="n">
        <v>3</v>
      </c>
      <c r="C12" s="5" t="s">
        <v>25</v>
      </c>
      <c r="D12" s="5" t="s">
        <v>26</v>
      </c>
    </row>
    <row r="13" customFormat="false" ht="15" hidden="false" customHeight="false" outlineLevel="0" collapsed="false">
      <c r="A13" s="5" t="s">
        <v>27</v>
      </c>
      <c r="B13" s="6" t="n">
        <v>800</v>
      </c>
      <c r="C13" s="5" t="s">
        <v>11</v>
      </c>
      <c r="D13" s="5" t="s">
        <v>28</v>
      </c>
    </row>
    <row r="14" customFormat="false" ht="15" hidden="false" customHeight="false" outlineLevel="0" collapsed="false">
      <c r="A14" s="5" t="s">
        <v>29</v>
      </c>
      <c r="B14" s="6" t="n">
        <v>250</v>
      </c>
      <c r="C14" s="5" t="s">
        <v>11</v>
      </c>
      <c r="D14" s="5" t="s">
        <v>30</v>
      </c>
    </row>
    <row r="15" customFormat="false" ht="15" hidden="false" customHeight="false" outlineLevel="0" collapsed="false">
      <c r="A15" s="5" t="s">
        <v>31</v>
      </c>
      <c r="B15" s="6" t="n">
        <v>5</v>
      </c>
      <c r="C15" s="5" t="s">
        <v>32</v>
      </c>
      <c r="D15" s="5" t="s">
        <v>33</v>
      </c>
    </row>
    <row r="17" customFormat="false" ht="15" hidden="false" customHeight="false" outlineLevel="0" collapsed="false">
      <c r="A17" s="3" t="s">
        <v>34</v>
      </c>
    </row>
    <row r="18" customFormat="false" ht="15" hidden="false" customHeight="false" outlineLevel="0" collapsed="false">
      <c r="A18" s="4" t="s">
        <v>3</v>
      </c>
      <c r="B18" s="4" t="s">
        <v>4</v>
      </c>
      <c r="C18" s="4" t="s">
        <v>5</v>
      </c>
      <c r="D18" s="4" t="s">
        <v>6</v>
      </c>
    </row>
    <row r="19" customFormat="false" ht="15" hidden="false" customHeight="false" outlineLevel="0" collapsed="false">
      <c r="A19" s="5" t="s">
        <v>35</v>
      </c>
      <c r="B19" s="6" t="n">
        <v>2000</v>
      </c>
      <c r="C19" s="5" t="s">
        <v>36</v>
      </c>
      <c r="D19" s="5" t="s">
        <v>37</v>
      </c>
    </row>
    <row r="20" customFormat="false" ht="15" hidden="false" customHeight="false" outlineLevel="0" collapsed="false">
      <c r="A20" s="5" t="s">
        <v>38</v>
      </c>
      <c r="B20" s="6" t="n">
        <v>3</v>
      </c>
      <c r="C20" s="5" t="s">
        <v>11</v>
      </c>
      <c r="D20" s="5" t="s">
        <v>39</v>
      </c>
    </row>
    <row r="21" customFormat="false" ht="15" hidden="false" customHeight="false" outlineLevel="0" collapsed="false">
      <c r="A21" s="5" t="s">
        <v>40</v>
      </c>
      <c r="B21" s="6" t="n">
        <v>16</v>
      </c>
      <c r="C21" s="5" t="s">
        <v>11</v>
      </c>
      <c r="D21" s="5" t="s">
        <v>41</v>
      </c>
    </row>
    <row r="22" customFormat="false" ht="15" hidden="false" customHeight="false" outlineLevel="0" collapsed="false">
      <c r="A22" s="5" t="s">
        <v>42</v>
      </c>
      <c r="B22" s="6" t="n">
        <v>3</v>
      </c>
      <c r="C22" s="5" t="s">
        <v>43</v>
      </c>
      <c r="D22" s="5" t="s">
        <v>44</v>
      </c>
    </row>
    <row r="23" customFormat="false" ht="15" hidden="false" customHeight="false" outlineLevel="0" collapsed="false">
      <c r="A23" s="5" t="s">
        <v>45</v>
      </c>
      <c r="B23" s="6" t="n">
        <v>50</v>
      </c>
      <c r="C23" s="5" t="s">
        <v>11</v>
      </c>
      <c r="D23" s="5" t="s">
        <v>46</v>
      </c>
    </row>
    <row r="24" customFormat="false" ht="15" hidden="false" customHeight="false" outlineLevel="0" collapsed="false">
      <c r="A24" s="5" t="s">
        <v>47</v>
      </c>
      <c r="B24" s="6" t="n">
        <v>0</v>
      </c>
      <c r="C24" s="5" t="s">
        <v>17</v>
      </c>
      <c r="D24" s="5" t="s">
        <v>48</v>
      </c>
    </row>
    <row r="25" customFormat="false" ht="15" hidden="false" customHeight="false" outlineLevel="0" collapsed="false">
      <c r="A25" s="5" t="s">
        <v>49</v>
      </c>
      <c r="B25" s="7" t="n">
        <f aca="false">B19/B6</f>
        <v>50</v>
      </c>
      <c r="C25" s="5" t="s">
        <v>50</v>
      </c>
      <c r="D25" s="5" t="s">
        <v>51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53</v>
      </c>
    </row>
    <row r="4" customFormat="false" ht="26.85" hidden="false" customHeight="false" outlineLevel="0" collapsed="false">
      <c r="A4" s="4" t="s">
        <v>54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</row>
    <row r="5" customFormat="false" ht="15" hidden="false" customHeight="false" outlineLevel="0" collapsed="false">
      <c r="A5" s="8" t="s">
        <v>60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5" t="s">
        <v>61</v>
      </c>
      <c r="B6" s="9" t="n">
        <v>50</v>
      </c>
      <c r="C6" s="9" t="n">
        <v>200</v>
      </c>
      <c r="D6" s="9" t="n">
        <v>500</v>
      </c>
      <c r="E6" s="9" t="n">
        <v>2000</v>
      </c>
      <c r="F6" s="9" t="n">
        <v>10000</v>
      </c>
    </row>
    <row r="7" customFormat="false" ht="15" hidden="false" customHeight="false" outlineLevel="0" collapsed="false">
      <c r="A7" s="5" t="s">
        <v>62</v>
      </c>
      <c r="B7" s="9" t="n">
        <f aca="false">CEILING(B6/Assumptions!B6,1)</f>
        <v>2</v>
      </c>
      <c r="C7" s="9" t="n">
        <f aca="false">CEILING(C6/Assumptions!B6,1)</f>
        <v>5</v>
      </c>
      <c r="D7" s="9" t="n">
        <f aca="false">CEILING(D6/Assumptions!B6,1)</f>
        <v>13</v>
      </c>
      <c r="E7" s="9" t="n">
        <f aca="false">CEILING(E6/Assumptions!B6,1)</f>
        <v>50</v>
      </c>
      <c r="F7" s="9" t="n">
        <f aca="false">CEILING(F6/Assumptions!B6,1)</f>
        <v>250</v>
      </c>
    </row>
    <row r="8" customFormat="false" ht="15" hidden="false" customHeight="false" outlineLevel="0" collapsed="false">
      <c r="A8" s="5" t="s">
        <v>63</v>
      </c>
      <c r="B8" s="9" t="n">
        <f aca="false">Assumptions!B12</f>
        <v>3</v>
      </c>
      <c r="C8" s="9" t="n">
        <f aca="false">Assumptions!B12</f>
        <v>3</v>
      </c>
      <c r="D8" s="9" t="n">
        <f aca="false">Assumptions!B12</f>
        <v>3</v>
      </c>
      <c r="E8" s="9" t="n">
        <f aca="false">Assumptions!B12</f>
        <v>3</v>
      </c>
      <c r="F8" s="9" t="n">
        <f aca="false">Assumptions!B12</f>
        <v>3</v>
      </c>
    </row>
    <row r="9" customFormat="false" ht="15" hidden="false" customHeight="false" outlineLevel="0" collapsed="false">
      <c r="A9" s="5" t="s">
        <v>64</v>
      </c>
      <c r="B9" s="10" t="n">
        <f aca="false">B7*Assumptions!B9*730</f>
        <v>280.32</v>
      </c>
      <c r="C9" s="10" t="n">
        <f aca="false">C7*Assumptions!B9*730</f>
        <v>700.8</v>
      </c>
      <c r="D9" s="10" t="n">
        <f aca="false">D7*Assumptions!B9*730</f>
        <v>1822.08</v>
      </c>
      <c r="E9" s="10" t="n">
        <f aca="false">E7*Assumptions!B9*730</f>
        <v>7008</v>
      </c>
      <c r="F9" s="10" t="n">
        <f aca="false">F7*Assumptions!B9*730</f>
        <v>35040</v>
      </c>
    </row>
    <row r="10" customFormat="false" ht="15" hidden="false" customHeight="false" outlineLevel="0" collapsed="false">
      <c r="A10" s="5" t="s">
        <v>65</v>
      </c>
      <c r="B10" s="10" t="n">
        <f aca="false">B8*Assumptions!B10*730</f>
        <v>219</v>
      </c>
      <c r="C10" s="10" t="n">
        <f aca="false">C8*Assumptions!B10*730</f>
        <v>219</v>
      </c>
      <c r="D10" s="10" t="n">
        <f aca="false">D8*Assumptions!B10*730</f>
        <v>219</v>
      </c>
      <c r="E10" s="10" t="n">
        <f aca="false">E8*Assumptions!B10*730</f>
        <v>219</v>
      </c>
      <c r="F10" s="10" t="n">
        <f aca="false">F8*Assumptions!B10*730</f>
        <v>219</v>
      </c>
    </row>
    <row r="11" customFormat="false" ht="15" hidden="false" customHeight="false" outlineLevel="0" collapsed="false">
      <c r="A11" s="11" t="s">
        <v>66</v>
      </c>
      <c r="B11" s="12" t="n">
        <f aca="false">B9+B10</f>
        <v>499.32</v>
      </c>
      <c r="C11" s="12" t="n">
        <f aca="false">C9+C10</f>
        <v>919.8</v>
      </c>
      <c r="D11" s="12" t="n">
        <f aca="false">D9+D10</f>
        <v>2041.08</v>
      </c>
      <c r="E11" s="12" t="n">
        <f aca="false">E9+E10</f>
        <v>7227</v>
      </c>
      <c r="F11" s="12" t="n">
        <f aca="false">F9+F10</f>
        <v>35259</v>
      </c>
    </row>
    <row r="12" customFormat="false" ht="15" hidden="false" customHeight="false" outlineLevel="0" collapsed="false">
      <c r="A12" s="11" t="s">
        <v>67</v>
      </c>
      <c r="B12" s="12" t="n">
        <f aca="false">B11*12</f>
        <v>5991.84</v>
      </c>
      <c r="C12" s="12" t="n">
        <f aca="false">C11*12</f>
        <v>11037.6</v>
      </c>
      <c r="D12" s="12" t="n">
        <f aca="false">D11*12</f>
        <v>24492.96</v>
      </c>
      <c r="E12" s="12" t="n">
        <f aca="false">E11*12</f>
        <v>86724</v>
      </c>
      <c r="F12" s="12" t="n">
        <f aca="false">F11*12</f>
        <v>423108</v>
      </c>
    </row>
    <row r="14" customFormat="false" ht="15" hidden="false" customHeight="false" outlineLevel="0" collapsed="false">
      <c r="A14" s="8" t="s">
        <v>68</v>
      </c>
      <c r="B14" s="8"/>
      <c r="C14" s="8"/>
      <c r="D14" s="8"/>
      <c r="E14" s="8"/>
      <c r="F14" s="8"/>
    </row>
    <row r="15" customFormat="false" ht="15" hidden="false" customHeight="false" outlineLevel="0" collapsed="false">
      <c r="A15" s="5" t="s">
        <v>69</v>
      </c>
      <c r="B15" s="9" t="n">
        <v>50</v>
      </c>
      <c r="C15" s="9" t="n">
        <v>200</v>
      </c>
      <c r="D15" s="9" t="n">
        <v>500</v>
      </c>
      <c r="E15" s="9" t="n">
        <v>2000</v>
      </c>
      <c r="F15" s="9" t="n">
        <v>10000</v>
      </c>
    </row>
    <row r="16" customFormat="false" ht="15" hidden="false" customHeight="false" outlineLevel="0" collapsed="false">
      <c r="A16" s="5" t="s">
        <v>70</v>
      </c>
      <c r="B16" s="9" t="n">
        <f aca="false">CEILING(B15/Assumptions!B19,1)</f>
        <v>1</v>
      </c>
      <c r="C16" s="9" t="n">
        <f aca="false">CEILING(C15/Assumptions!B19,1)</f>
        <v>1</v>
      </c>
      <c r="D16" s="9" t="n">
        <f aca="false">CEILING(D15/Assumptions!B19,1)</f>
        <v>1</v>
      </c>
      <c r="E16" s="9" t="n">
        <f aca="false">CEILING(E15/Assumptions!B19,1)</f>
        <v>1</v>
      </c>
      <c r="F16" s="9" t="n">
        <f aca="false">CEILING(F15/Assumptions!B19,1)</f>
        <v>5</v>
      </c>
    </row>
    <row r="17" customFormat="false" ht="15" hidden="false" customHeight="false" outlineLevel="0" collapsed="false">
      <c r="A17" s="5" t="s">
        <v>71</v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</row>
    <row r="18" customFormat="false" ht="15" hidden="false" customHeight="false" outlineLevel="0" collapsed="false">
      <c r="A18" s="5" t="s">
        <v>64</v>
      </c>
      <c r="B18" s="10" t="n">
        <f aca="false">B16*Assumptions!B9*730</f>
        <v>140.16</v>
      </c>
      <c r="C18" s="10" t="n">
        <f aca="false">C16*Assumptions!B9*730</f>
        <v>140.16</v>
      </c>
      <c r="D18" s="10" t="n">
        <f aca="false">D16*Assumptions!B9*730</f>
        <v>140.16</v>
      </c>
      <c r="E18" s="10" t="n">
        <f aca="false">E16*Assumptions!B9*730</f>
        <v>140.16</v>
      </c>
      <c r="F18" s="10" t="n">
        <f aca="false">F16*Assumptions!B9*730</f>
        <v>700.8</v>
      </c>
    </row>
    <row r="19" customFormat="false" ht="15" hidden="false" customHeight="false" outlineLevel="0" collapsed="false">
      <c r="A19" s="11" t="s">
        <v>72</v>
      </c>
      <c r="B19" s="12" t="n">
        <f aca="false">B18+B17</f>
        <v>140.16</v>
      </c>
      <c r="C19" s="12" t="n">
        <f aca="false">C18+C17</f>
        <v>140.16</v>
      </c>
      <c r="D19" s="12" t="n">
        <f aca="false">D18+D17</f>
        <v>140.16</v>
      </c>
      <c r="E19" s="12" t="n">
        <f aca="false">E18+E17</f>
        <v>140.16</v>
      </c>
      <c r="F19" s="12" t="n">
        <f aca="false">F18+F17</f>
        <v>700.8</v>
      </c>
    </row>
    <row r="20" customFormat="false" ht="15" hidden="false" customHeight="false" outlineLevel="0" collapsed="false">
      <c r="A20" s="11" t="s">
        <v>73</v>
      </c>
      <c r="B20" s="12" t="n">
        <f aca="false">B19*12</f>
        <v>1681.92</v>
      </c>
      <c r="C20" s="12" t="n">
        <f aca="false">C19*12</f>
        <v>1681.92</v>
      </c>
      <c r="D20" s="12" t="n">
        <f aca="false">D19*12</f>
        <v>1681.92</v>
      </c>
      <c r="E20" s="12" t="n">
        <f aca="false">E19*12</f>
        <v>1681.92</v>
      </c>
      <c r="F20" s="12" t="n">
        <f aca="false">F19*12</f>
        <v>8409.6</v>
      </c>
    </row>
    <row r="22" customFormat="false" ht="15" hidden="false" customHeight="false" outlineLevel="0" collapsed="false">
      <c r="A22" s="13" t="s">
        <v>74</v>
      </c>
      <c r="B22" s="13"/>
      <c r="C22" s="13"/>
      <c r="D22" s="13"/>
      <c r="E22" s="13"/>
      <c r="F22" s="13"/>
    </row>
    <row r="23" customFormat="false" ht="15" hidden="false" customHeight="false" outlineLevel="0" collapsed="false">
      <c r="A23" s="14" t="s">
        <v>75</v>
      </c>
      <c r="B23" s="15" t="n">
        <f aca="false">B11-B19</f>
        <v>359.16</v>
      </c>
      <c r="C23" s="15" t="n">
        <f aca="false">C11-C19</f>
        <v>779.64</v>
      </c>
      <c r="D23" s="15" t="n">
        <f aca="false">D11-D19</f>
        <v>1900.92</v>
      </c>
      <c r="E23" s="15" t="n">
        <f aca="false">E11-E19</f>
        <v>7086.84</v>
      </c>
      <c r="F23" s="15" t="n">
        <f aca="false">F11-F19</f>
        <v>34558.2</v>
      </c>
    </row>
    <row r="24" customFormat="false" ht="15" hidden="false" customHeight="false" outlineLevel="0" collapsed="false">
      <c r="A24" s="14" t="s">
        <v>76</v>
      </c>
      <c r="B24" s="16" t="n">
        <f aca="false">B23*12</f>
        <v>4309.92</v>
      </c>
      <c r="C24" s="16" t="n">
        <f aca="false">C23*12</f>
        <v>9355.68</v>
      </c>
      <c r="D24" s="16" t="n">
        <f aca="false">D23*12</f>
        <v>22811.04</v>
      </c>
      <c r="E24" s="16" t="n">
        <f aca="false">E23*12</f>
        <v>85042.08</v>
      </c>
      <c r="F24" s="16" t="n">
        <f aca="false">F23*12</f>
        <v>414698.4</v>
      </c>
    </row>
    <row r="25" customFormat="false" ht="15" hidden="false" customHeight="false" outlineLevel="0" collapsed="false">
      <c r="A25" s="14" t="s">
        <v>77</v>
      </c>
      <c r="B25" s="17" t="n">
        <f aca="false">IF(B11&gt;0,B23/B11,0)</f>
        <v>0.719298245614035</v>
      </c>
      <c r="C25" s="17" t="n">
        <f aca="false">IF(C11&gt;0,C23/C11,0)</f>
        <v>0.847619047619048</v>
      </c>
      <c r="D25" s="17" t="n">
        <f aca="false">IF(D11&gt;0,D23/D11,0)</f>
        <v>0.931330472103004</v>
      </c>
      <c r="E25" s="17" t="n">
        <f aca="false">IF(E11&gt;0,E23/E11,0)</f>
        <v>0.980606060606061</v>
      </c>
      <c r="F25" s="17" t="n">
        <f aca="false">IF(F11&gt;0,F23/F11,0)</f>
        <v>0.980124223602484</v>
      </c>
    </row>
    <row r="26" customFormat="false" ht="15" hidden="false" customHeight="false" outlineLevel="0" collapsed="false">
      <c r="A26" s="5" t="s">
        <v>78</v>
      </c>
      <c r="B26" s="18" t="n">
        <f aca="false">B7-B16</f>
        <v>1</v>
      </c>
      <c r="C26" s="18" t="n">
        <f aca="false">C7-C16</f>
        <v>4</v>
      </c>
      <c r="D26" s="18" t="n">
        <f aca="false">D7-D16</f>
        <v>12</v>
      </c>
      <c r="E26" s="18" t="n">
        <f aca="false">E7-E16</f>
        <v>49</v>
      </c>
      <c r="F26" s="18" t="n">
        <f aca="false">F7-F16</f>
        <v>245</v>
      </c>
    </row>
    <row r="27" customFormat="false" ht="15" hidden="false" customHeight="false" outlineLevel="0" collapsed="false">
      <c r="A27" s="5" t="s">
        <v>79</v>
      </c>
      <c r="B27" s="19" t="n">
        <f aca="false">Assumptions!B25</f>
        <v>50</v>
      </c>
      <c r="C27" s="19" t="n">
        <f aca="false">Assumptions!B25</f>
        <v>50</v>
      </c>
      <c r="D27" s="19" t="n">
        <f aca="false">Assumptions!B25</f>
        <v>50</v>
      </c>
      <c r="E27" s="19" t="n">
        <f aca="false">Assumptions!B25</f>
        <v>50</v>
      </c>
      <c r="F27" s="19" t="n">
        <f aca="false">Assumptions!B25</f>
        <v>50</v>
      </c>
    </row>
    <row r="29" customFormat="false" ht="15" hidden="false" customHeight="false" outlineLevel="0" collapsed="false">
      <c r="A29" s="8" t="s">
        <v>80</v>
      </c>
      <c r="B29" s="8"/>
      <c r="C29" s="8"/>
      <c r="D29" s="8"/>
      <c r="E29" s="8"/>
      <c r="F29" s="8"/>
    </row>
    <row r="30" customFormat="false" ht="15" hidden="false" customHeight="false" outlineLevel="0" collapsed="false">
      <c r="A30" s="20" t="s">
        <v>81</v>
      </c>
      <c r="B30" s="20"/>
      <c r="C30" s="20"/>
      <c r="D30" s="20"/>
      <c r="E30" s="20"/>
      <c r="F30" s="20"/>
    </row>
    <row r="31" customFormat="false" ht="15" hidden="false" customHeight="false" outlineLevel="0" collapsed="false">
      <c r="A31" s="20" t="s">
        <v>82</v>
      </c>
      <c r="B31" s="20"/>
      <c r="C31" s="20"/>
      <c r="D31" s="20"/>
      <c r="E31" s="20"/>
      <c r="F31" s="20"/>
    </row>
    <row r="32" customFormat="false" ht="15" hidden="false" customHeight="false" outlineLevel="0" collapsed="false">
      <c r="A32" s="20" t="s">
        <v>83</v>
      </c>
      <c r="B32" s="20"/>
      <c r="C32" s="20"/>
      <c r="D32" s="20"/>
      <c r="E32" s="20"/>
      <c r="F32" s="20"/>
    </row>
    <row r="33" customFormat="false" ht="15" hidden="false" customHeight="false" outlineLevel="0" collapsed="false">
      <c r="A33" s="20" t="s">
        <v>84</v>
      </c>
      <c r="B33" s="20"/>
      <c r="C33" s="20"/>
      <c r="D33" s="20"/>
      <c r="E33" s="20"/>
      <c r="F33" s="20"/>
    </row>
    <row r="34" customFormat="false" ht="15" hidden="false" customHeight="false" outlineLevel="0" collapsed="false">
      <c r="A34" s="20" t="s">
        <v>85</v>
      </c>
      <c r="B34" s="20"/>
      <c r="C34" s="20"/>
      <c r="D34" s="20"/>
      <c r="E34" s="20"/>
      <c r="F34" s="20"/>
    </row>
    <row r="35" customFormat="false" ht="15" hidden="false" customHeight="false" outlineLevel="0" collapsed="false">
      <c r="A35" s="20" t="s">
        <v>86</v>
      </c>
      <c r="B35" s="20"/>
      <c r="C35" s="20"/>
      <c r="D35" s="20"/>
      <c r="E35" s="20"/>
      <c r="F35" s="20"/>
    </row>
    <row r="37" customFormat="false" ht="15" hidden="false" customHeight="false" outlineLevel="0" collapsed="false">
      <c r="A37" s="21" t="s">
        <v>87</v>
      </c>
    </row>
    <row r="38" customFormat="false" ht="15" hidden="false" customHeight="false" outlineLevel="0" collapsed="false">
      <c r="A38" s="22" t="s">
        <v>88</v>
      </c>
      <c r="B38" s="22"/>
      <c r="C38" s="22"/>
      <c r="D38" s="22"/>
      <c r="E38" s="22"/>
      <c r="F38" s="22"/>
    </row>
    <row r="39" customFormat="false" ht="15" hidden="false" customHeight="false" outlineLevel="0" collapsed="false">
      <c r="A39" s="22" t="s">
        <v>89</v>
      </c>
      <c r="B39" s="22"/>
      <c r="C39" s="22"/>
      <c r="D39" s="22"/>
      <c r="E39" s="22"/>
      <c r="F39" s="22"/>
    </row>
    <row r="40" customFormat="false" ht="15" hidden="false" customHeight="false" outlineLevel="0" collapsed="false">
      <c r="A40" s="22" t="s">
        <v>90</v>
      </c>
      <c r="B40" s="22"/>
      <c r="C40" s="22"/>
      <c r="D40" s="22"/>
      <c r="E40" s="22"/>
      <c r="F40" s="22"/>
    </row>
    <row r="41" customFormat="false" ht="15" hidden="false" customHeight="false" outlineLevel="0" collapsed="false">
      <c r="A41" s="22" t="s">
        <v>91</v>
      </c>
      <c r="B41" s="22"/>
      <c r="C41" s="22"/>
      <c r="D41" s="22"/>
      <c r="E41" s="22"/>
      <c r="F41" s="22"/>
    </row>
    <row r="42" customFormat="false" ht="15" hidden="false" customHeight="false" outlineLevel="0" collapsed="false">
      <c r="A42" s="22" t="s">
        <v>92</v>
      </c>
      <c r="B42" s="22"/>
      <c r="C42" s="22"/>
      <c r="D42" s="22"/>
      <c r="E42" s="22"/>
      <c r="F42" s="22"/>
    </row>
  </sheetData>
  <mergeCells count="16">
    <mergeCell ref="A1:H1"/>
    <mergeCell ref="A5:F5"/>
    <mergeCell ref="A14:F14"/>
    <mergeCell ref="A22:F22"/>
    <mergeCell ref="A29:F29"/>
    <mergeCell ref="A30:F30"/>
    <mergeCell ref="A31:F31"/>
    <mergeCell ref="A32:F32"/>
    <mergeCell ref="A33:F33"/>
    <mergeCell ref="A34:F34"/>
    <mergeCell ref="A35:F35"/>
    <mergeCell ref="A38:F38"/>
    <mergeCell ref="A39:F39"/>
    <mergeCell ref="A40:F40"/>
    <mergeCell ref="A41:F41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2026-02-21T19:27:23Z</dcterms:created>
  <dc:creator>openpyxl</dc:creator>
  <dc:description/>
  <dc:language>en-US</dc:language>
  <cp:lastModifiedBy/>
  <dcterms:modified xsi:type="dcterms:W3CDTF">2026-02-21T19:27:23Z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